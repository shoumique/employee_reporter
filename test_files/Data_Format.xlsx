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T1" i="1" l="1"/>
</calcChain>
</file>

<file path=xl/sharedStrings.xml><?xml version="1.0" encoding="utf-8"?>
<sst xmlns="http://schemas.openxmlformats.org/spreadsheetml/2006/main" count="142" uniqueCount="119">
  <si>
    <t>µwgK bs</t>
  </si>
  <si>
    <t>bw_ bs</t>
  </si>
  <si>
    <t>cv‡m©v‡bj bs</t>
  </si>
  <si>
    <t>wefvMxq cÖavb/
AÂj cÖavb/ kvLv cÖavb</t>
  </si>
  <si>
    <t>bvg</t>
  </si>
  <si>
    <t>wcZvi bvg</t>
  </si>
  <si>
    <t>wk¶vMZ †hvM¨Zv</t>
  </si>
  <si>
    <t>‡ckvMZ †hvM¨Zv</t>
  </si>
  <si>
    <t>c‡e©i Kg©¯’j</t>
  </si>
  <si>
    <t>eZ©gvb Kg©¯’j</t>
  </si>
  <si>
    <t>e`jxK…Z Kg©¯’j</t>
  </si>
  <si>
    <t>AW©vi bs</t>
  </si>
  <si>
    <t>ZvwiL</t>
  </si>
  <si>
    <t>eZ©gvb
Kg©¯’‡j
‡hv`v‡bi
ZvwiL</t>
  </si>
  <si>
    <t>mv‡K©j †KvW</t>
  </si>
  <si>
    <t>AÂj †KvW</t>
  </si>
  <si>
    <t>kvLv †KvW</t>
  </si>
  <si>
    <t>†hvM`vbK…Z c`ex</t>
  </si>
  <si>
    <t>PvKzix‡Z †hvM`vb ZvwiL</t>
  </si>
  <si>
    <t>Awdmvi c‡`vbœwZ ZvwiL</t>
  </si>
  <si>
    <t>GmI c‡`vbœwZ ZvwiL</t>
  </si>
  <si>
    <t>wcI c‡`vbœwZ ZvwiL</t>
  </si>
  <si>
    <t>GmwcI c‡`vbœwZ ZvwiL</t>
  </si>
  <si>
    <t>GwRGg c‡`vbœwZ ZvwiL</t>
  </si>
  <si>
    <t>wWwRGg c‡`vbœwZ ZvwiL</t>
  </si>
  <si>
    <t>Rb¥ ZvwiL</t>
  </si>
  <si>
    <t>wcAviGj-Gi ZvwiL</t>
  </si>
  <si>
    <t>wbR †Rjv</t>
  </si>
  <si>
    <t>gše¨</t>
  </si>
  <si>
    <t>gyw³‡hv×v</t>
  </si>
  <si>
    <t>M/F</t>
  </si>
  <si>
    <t>cyivZb bw_ bs</t>
  </si>
  <si>
    <t>Super-Newmerray / Normal</t>
  </si>
  <si>
    <t>Rural/Urben</t>
  </si>
  <si>
    <t>Last Promotion SL</t>
  </si>
  <si>
    <t>Current Branch Duration</t>
  </si>
  <si>
    <t>UT Status</t>
  </si>
  <si>
    <t>Age_Calculator</t>
  </si>
  <si>
    <t>Lmov PvR©kxU</t>
  </si>
  <si>
    <t>Edu</t>
  </si>
  <si>
    <t>IBB</t>
  </si>
  <si>
    <t>GgGmGm</t>
  </si>
  <si>
    <t>AvBwewe-2</t>
  </si>
  <si>
    <t>k¨vgjx kvLv,XvKv cwðg</t>
  </si>
  <si>
    <t>wmt Awdmvi</t>
  </si>
  <si>
    <t>cUzqvLvjx</t>
  </si>
  <si>
    <t>M</t>
  </si>
  <si>
    <t>weKg(A) GgKg</t>
  </si>
  <si>
    <t>ebvbx K‡c©vt kvLv,XvKv</t>
  </si>
  <si>
    <t>wmtAt,Gd/G</t>
  </si>
  <si>
    <t>0</t>
  </si>
  <si>
    <t>Kzwóqv</t>
  </si>
  <si>
    <r>
      <t xml:space="preserve">ˆmˆnˆn, </t>
    </r>
    <r>
      <rPr>
        <sz val="9"/>
        <color indexed="10"/>
        <rFont val="SutonnyMJ"/>
      </rPr>
      <t>GgweG</t>
    </r>
  </si>
  <si>
    <t>zfƒdhdh 2</t>
  </si>
  <si>
    <t>AvÂwjK Kvh©vjq,KzwoMÖvg</t>
  </si>
  <si>
    <t>zdInfv</t>
  </si>
  <si>
    <t>bDtIfmfvD</t>
  </si>
  <si>
    <t>weGmwm,GgKg,GgweG</t>
  </si>
  <si>
    <t>bevecyi ‡ivW K‡c©vt kvLv,XvKv</t>
  </si>
  <si>
    <t>Awdt (K¨vk)</t>
  </si>
  <si>
    <t>-</t>
  </si>
  <si>
    <t>eªvþbevwoqv</t>
  </si>
  <si>
    <t>weG,GgG,GgweG,GjGjwe</t>
  </si>
  <si>
    <t>ev›`ieb kvLv,PÆMÖvg ce© I cve©Z¨</t>
  </si>
  <si>
    <t>Kvgiv½xiPi kvLv, XvKv `w¶Y(kv cÖ)</t>
  </si>
  <si>
    <t>PÆMÖvg</t>
  </si>
  <si>
    <t>weGmwm(A) Bb wdmvwiR, GgGmwm</t>
  </si>
  <si>
    <t>gnvte¨et mwPt,Lyjbv mv‡K©j</t>
  </si>
  <si>
    <t>wmtAtgtKg©</t>
  </si>
  <si>
    <t>Lyjbv</t>
  </si>
  <si>
    <t>GgGmwm</t>
  </si>
  <si>
    <t>dwi`cyi kvLv,dwi`cyi</t>
  </si>
  <si>
    <t xml:space="preserve"> -</t>
  </si>
  <si>
    <t>dwi`cyi</t>
  </si>
  <si>
    <t>e¨vL¨v 05/07/11,</t>
  </si>
  <si>
    <t>wbæc‡` (GmwcI)AebwgZKib ¸i“`Û 15/10/20</t>
  </si>
  <si>
    <t>Rbve Avn‡g`</t>
  </si>
  <si>
    <t xml:space="preserve">Rbve †gvt </t>
  </si>
  <si>
    <t>Rbve †gvt  Bmjvg</t>
  </si>
  <si>
    <t xml:space="preserve">Rbve  Kzgvi </t>
  </si>
  <si>
    <t>Rbve weRq</t>
  </si>
  <si>
    <t>Rbve PµeZx©</t>
  </si>
  <si>
    <t>Rbve Bmjvg</t>
  </si>
  <si>
    <t>Bbdi‡gkb ‡UK‡bvjwR GÛ GgAvBGm wWwfkb(wmAvBwe), cÖtKvt, XvKv</t>
  </si>
  <si>
    <t>14/09/2025</t>
  </si>
  <si>
    <t>Urban</t>
  </si>
  <si>
    <t>0 Years 5 Months</t>
  </si>
  <si>
    <t>AvÂwjK Kvh©vjq,bvivqbMÄ</t>
  </si>
  <si>
    <t>24/05/2025</t>
  </si>
  <si>
    <t>0 Years 9 Months</t>
  </si>
  <si>
    <t>c­vwbs, ‡Kv-AwW©‡bkb GÛ gv‡K©wUs wWwfkb, cÖtKvt, XvKv</t>
  </si>
  <si>
    <t>wiKfvix GÛ GbwcG g¨v‡bR‡g›U wWwfkb , cÖtKvt, XvKv</t>
  </si>
  <si>
    <t>28/04/2025</t>
  </si>
  <si>
    <t>0 Years 10 Months</t>
  </si>
  <si>
    <t>Kvgiv½xiPi kvLv, XvKv `w¶Y</t>
  </si>
  <si>
    <t>16/03/2025</t>
  </si>
  <si>
    <t>0 Years 11 Months</t>
  </si>
  <si>
    <t xml:space="preserve">AvÂwjK Kvh©vjq,h‡kvi </t>
  </si>
  <si>
    <t>0 Years 0 Months</t>
  </si>
  <si>
    <t>AvÂwjK Kvhv©jq,dwi`cyi</t>
  </si>
  <si>
    <t>15/01/2025</t>
  </si>
  <si>
    <t>1 Years 1 Months</t>
  </si>
  <si>
    <t>†nv‡mb</t>
  </si>
  <si>
    <t>Avjx</t>
  </si>
  <si>
    <t xml:space="preserve">‰mq` </t>
  </si>
  <si>
    <t>miKvi</t>
  </si>
  <si>
    <t xml:space="preserve">cÖfvKi </t>
  </si>
  <si>
    <t>PµeZx©</t>
  </si>
  <si>
    <t xml:space="preserve"> wgqv</t>
  </si>
  <si>
    <t>এক</t>
  </si>
  <si>
    <t>এউ</t>
  </si>
  <si>
    <t>কত</t>
  </si>
  <si>
    <t>বাবা</t>
  </si>
  <si>
    <t>কন</t>
  </si>
  <si>
    <t xml:space="preserve">mZKxKiY 29/06/13, </t>
  </si>
  <si>
    <t xml:space="preserve">e¨vL¨v 17/1/23, </t>
  </si>
  <si>
    <t xml:space="preserve"> 15/10/2020 ZvwiL †_‡K GwRGg c‡` cybe©nvj|</t>
  </si>
  <si>
    <t>e¨vL¨v 12/12/17,</t>
  </si>
  <si>
    <t>e¨vL¨v 10/06/07,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</si>
</sst>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7" x14ac:knownFonts="1">
    <font>
      <sz val="11"/>
      <color theme="1"/>
      <name val="Calibri"/>
      <family val="2"/>
      <scheme val="minor"/>
    </font>
    <font>
      <sz val="10"/>
      <name val="SutonnyMJ"/>
    </font>
    <font>
      <sz val="10"/>
      <name val="Times New Roman"/>
      <family val="1"/>
    </font>
    <font>
      <sz val="10"/>
      <color rgb="FFFF0000"/>
      <name val="SutonnyMJ"/>
    </font>
    <font>
      <sz val="10"/>
      <color indexed="10"/>
      <name val="SutonnyMJ"/>
    </font>
    <font>
      <sz val="10"/>
      <color indexed="10"/>
      <name val="Times New Roman"/>
      <family val="1"/>
    </font>
    <font>
      <sz val="10"/>
      <color rgb="FFFF0000"/>
      <name val="Times New Roman"/>
      <family val="1"/>
    </font>
    <font>
      <sz val="9"/>
      <color rgb="FFFF0000"/>
      <name val="SutonnyMJ"/>
    </font>
    <font>
      <sz val="9"/>
      <color indexed="10"/>
      <name val="SutonnyMJ"/>
    </font>
    <font>
      <sz val="8"/>
      <color rgb="FFFF0000"/>
      <name val="SutonnyMJ"/>
    </font>
    <font>
      <sz val="9"/>
      <color rgb="FFFF0000"/>
      <name val="Times New Roman"/>
      <family val="1"/>
    </font>
    <font>
      <sz val="9"/>
      <name val="SutonnyMJ"/>
    </font>
    <font>
      <sz val="10"/>
      <color theme="3"/>
      <name val="SutonnyMJ"/>
    </font>
    <font>
      <sz val="10"/>
      <name val="Arial"/>
      <family val="2"/>
    </font>
    <font>
      <b/>
      <sz val="14"/>
      <color theme="1"/>
      <name val="SutonnyMJ"/>
    </font>
    <font>
      <sz val="10"/>
      <color rgb="FF0070C0"/>
      <name val="SutonnyMJ"/>
    </font>
    <font>
      <b/>
      <sz val="11"/>
      <name val="SutonnyMJ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4" fillId="2" borderId="0" xfId="1" applyNumberFormat="1" applyFont="1" applyFill="1" applyAlignment="1">
      <alignment vertical="center" shrinkToFit="1"/>
    </xf>
    <xf numFmtId="14" fontId="14" fillId="3" borderId="0" xfId="1" applyNumberFormat="1" applyFont="1" applyFill="1" applyAlignment="1">
      <alignment vertical="center" shrinkToFi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1" fontId="1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16" fillId="3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19"/>
  <sheetViews>
    <sheetView tabSelected="1" topLeftCell="S2" workbookViewId="0">
      <selection activeCell="AI4" sqref="AI4:AI5"/>
    </sheetView>
  </sheetViews>
  <sheetFormatPr defaultColWidth="9.1796875" defaultRowHeight="13.5" x14ac:dyDescent="0.35"/>
  <cols>
    <col min="1" max="1" width="8.54296875" style="59" hidden="1" customWidth="1"/>
    <col min="2" max="2" width="8.453125" style="56" customWidth="1"/>
    <col min="3" max="3" width="9" style="56" customWidth="1"/>
    <col min="4" max="4" width="13" style="56" customWidth="1"/>
    <col min="5" max="5" width="12.54296875" style="56" customWidth="1"/>
    <col min="6" max="6" width="21.1796875" style="59" customWidth="1"/>
    <col min="7" max="8" width="18.26953125" style="59" customWidth="1"/>
    <col min="9" max="9" width="13" style="66" customWidth="1"/>
    <col min="10" max="10" width="19.1796875" style="67" customWidth="1"/>
    <col min="11" max="11" width="24.54296875" style="67" customWidth="1"/>
    <col min="12" max="12" width="11.54296875" style="62" customWidth="1"/>
    <col min="13" max="13" width="7" style="56" customWidth="1"/>
    <col min="14" max="14" width="8.54296875" style="68" customWidth="1"/>
    <col min="15" max="15" width="11.54296875" style="68" customWidth="1"/>
    <col min="16" max="18" width="5.453125" style="56" customWidth="1"/>
    <col min="19" max="19" width="8.54296875" style="56" customWidth="1"/>
    <col min="20" max="20" width="9.7265625" style="56" bestFit="1" customWidth="1"/>
    <col min="21" max="21" width="8" style="56" hidden="1" customWidth="1"/>
    <col min="22" max="22" width="7.7265625" style="67" hidden="1" customWidth="1"/>
    <col min="23" max="23" width="7.81640625" style="59" hidden="1" customWidth="1"/>
    <col min="24" max="24" width="7.7265625" style="59" hidden="1" customWidth="1"/>
    <col min="25" max="25" width="10.81640625" style="56" customWidth="1"/>
    <col min="26" max="26" width="8.453125" style="56" hidden="1" customWidth="1"/>
    <col min="27" max="27" width="9.7265625" style="59" bestFit="1" customWidth="1"/>
    <col min="28" max="28" width="17" style="69" customWidth="1"/>
    <col min="29" max="29" width="8.1796875" style="59" customWidth="1"/>
    <col min="30" max="30" width="53.54296875" style="59" customWidth="1"/>
    <col min="31" max="31" width="8.81640625" style="70" customWidth="1"/>
    <col min="32" max="32" width="11.54296875" style="70" customWidth="1"/>
    <col min="33" max="33" width="4.81640625" style="56" bestFit="1" customWidth="1"/>
    <col min="34" max="34" width="3" style="56" bestFit="1" customWidth="1"/>
    <col min="35" max="35" width="8.1796875" style="59" bestFit="1" customWidth="1"/>
    <col min="36" max="36" width="5.81640625" style="71" customWidth="1"/>
    <col min="37" max="37" width="9.453125" style="59" bestFit="1" customWidth="1"/>
    <col min="38" max="38" width="12.453125" style="59" customWidth="1"/>
    <col min="39" max="39" width="13.453125" style="71" customWidth="1"/>
    <col min="40" max="40" width="9.26953125" style="62" bestFit="1" customWidth="1"/>
    <col min="41" max="41" width="15.54296875" style="70" customWidth="1"/>
    <col min="42" max="42" width="11.81640625" style="59" customWidth="1"/>
    <col min="43" max="43" width="14" style="56" customWidth="1"/>
    <col min="44" max="44" width="19.453125" style="11" customWidth="1"/>
    <col min="45" max="45" width="9.1796875" style="59"/>
    <col min="46" max="46" width="15.453125" style="59" bestFit="1" customWidth="1"/>
    <col min="47" max="16384" width="9.1796875" style="59"/>
  </cols>
  <sheetData>
    <row r="1" spans="1:221" s="56" customFormat="1" ht="50.25" customHeight="1" x14ac:dyDescent="0.35">
      <c r="A1" s="5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4" t="s">
        <v>26</v>
      </c>
      <c r="AC1" s="1" t="s">
        <v>27</v>
      </c>
      <c r="AD1" s="1" t="s">
        <v>28</v>
      </c>
      <c r="AE1" s="5"/>
      <c r="AF1" s="5"/>
      <c r="AG1" s="6"/>
      <c r="AH1" s="6"/>
      <c r="AI1" s="6" t="s">
        <v>29</v>
      </c>
      <c r="AJ1" s="5" t="s">
        <v>30</v>
      </c>
      <c r="AK1" s="6" t="s">
        <v>31</v>
      </c>
      <c r="AL1" s="7" t="s">
        <v>32</v>
      </c>
      <c r="AM1" s="5" t="s">
        <v>33</v>
      </c>
      <c r="AN1" s="7" t="s">
        <v>34</v>
      </c>
      <c r="AO1" s="7" t="s">
        <v>35</v>
      </c>
      <c r="AP1" s="5" t="s">
        <v>36</v>
      </c>
      <c r="AQ1" s="8" t="s">
        <v>37</v>
      </c>
      <c r="AR1" s="9" t="s">
        <v>38</v>
      </c>
      <c r="AT1" s="57">
        <f ca="1">TODAY()</f>
        <v>46079</v>
      </c>
      <c r="AU1" s="58"/>
      <c r="AV1" s="58"/>
      <c r="AW1" s="58"/>
      <c r="AX1" s="58"/>
      <c r="AY1" s="58"/>
    </row>
    <row r="2" spans="1:221" x14ac:dyDescent="0.35">
      <c r="A2" s="55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3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26</v>
      </c>
      <c r="AA2" s="1">
        <v>27</v>
      </c>
      <c r="AB2" s="4">
        <v>28</v>
      </c>
      <c r="AC2" s="1">
        <v>29</v>
      </c>
      <c r="AD2" s="1">
        <v>30</v>
      </c>
      <c r="AE2" s="5" t="s">
        <v>39</v>
      </c>
      <c r="AF2" s="5" t="s">
        <v>40</v>
      </c>
      <c r="AG2" s="6">
        <v>33</v>
      </c>
      <c r="AH2" s="6">
        <v>34</v>
      </c>
      <c r="AI2" s="6">
        <v>35</v>
      </c>
      <c r="AJ2" s="5">
        <v>36</v>
      </c>
      <c r="AK2" s="6">
        <v>37</v>
      </c>
      <c r="AL2" s="6">
        <v>38</v>
      </c>
      <c r="AM2" s="5">
        <v>39</v>
      </c>
      <c r="AN2" s="6">
        <v>40</v>
      </c>
      <c r="AO2" s="5">
        <v>41</v>
      </c>
      <c r="AP2" s="6">
        <v>42</v>
      </c>
      <c r="AQ2" s="10"/>
    </row>
    <row r="3" spans="1:221" s="60" customFormat="1" ht="27" x14ac:dyDescent="0.35">
      <c r="A3" s="59">
        <v>1</v>
      </c>
      <c r="B3" s="6">
        <v>1</v>
      </c>
      <c r="C3" s="12">
        <v>10</v>
      </c>
      <c r="D3" s="13">
        <v>80</v>
      </c>
      <c r="E3" s="13" t="s">
        <v>109</v>
      </c>
      <c r="F3" s="14" t="s">
        <v>76</v>
      </c>
      <c r="G3" s="14" t="s">
        <v>102</v>
      </c>
      <c r="H3" s="14" t="s">
        <v>41</v>
      </c>
      <c r="I3" s="15" t="s">
        <v>42</v>
      </c>
      <c r="J3" s="15" t="s">
        <v>43</v>
      </c>
      <c r="K3" s="15" t="s">
        <v>83</v>
      </c>
      <c r="L3" s="16"/>
      <c r="M3" s="17"/>
      <c r="N3" s="18"/>
      <c r="O3" s="19" t="s">
        <v>84</v>
      </c>
      <c r="P3" s="13">
        <v>1</v>
      </c>
      <c r="Q3" s="13">
        <v>9.1</v>
      </c>
      <c r="R3" s="13">
        <v>11.15</v>
      </c>
      <c r="S3" s="13" t="s">
        <v>44</v>
      </c>
      <c r="T3" s="20">
        <v>34227</v>
      </c>
      <c r="U3" s="13">
        <v>0</v>
      </c>
      <c r="V3" s="13">
        <v>0</v>
      </c>
      <c r="W3" s="20">
        <v>36797</v>
      </c>
      <c r="X3" s="20">
        <v>39224</v>
      </c>
      <c r="Y3" s="20">
        <v>40906</v>
      </c>
      <c r="Z3" s="21"/>
      <c r="AA3" s="20">
        <v>25539</v>
      </c>
      <c r="AB3" s="22">
        <v>47089</v>
      </c>
      <c r="AC3" s="14" t="s">
        <v>45</v>
      </c>
      <c r="AD3" s="16" t="s">
        <v>118</v>
      </c>
      <c r="AE3" s="23">
        <v>10</v>
      </c>
      <c r="AF3" s="23">
        <v>5</v>
      </c>
      <c r="AG3" s="16"/>
      <c r="AH3" s="16"/>
      <c r="AI3" s="16"/>
      <c r="AJ3" s="24" t="s">
        <v>46</v>
      </c>
      <c r="AK3" s="16"/>
      <c r="AL3" s="2"/>
      <c r="AM3" s="7" t="s">
        <v>85</v>
      </c>
      <c r="AN3" s="2"/>
      <c r="AO3" s="25" t="s">
        <v>86</v>
      </c>
      <c r="AP3" s="15"/>
      <c r="AQ3" s="26">
        <v>56</v>
      </c>
      <c r="AR3" s="15"/>
    </row>
    <row r="4" spans="1:221" s="62" customFormat="1" x14ac:dyDescent="0.35">
      <c r="A4" s="61">
        <v>15</v>
      </c>
      <c r="B4" s="6">
        <v>2</v>
      </c>
      <c r="C4" s="27">
        <v>11</v>
      </c>
      <c r="D4" s="28">
        <v>81</v>
      </c>
      <c r="E4" s="28" t="s">
        <v>110</v>
      </c>
      <c r="F4" s="29" t="s">
        <v>77</v>
      </c>
      <c r="G4" s="30" t="s">
        <v>103</v>
      </c>
      <c r="H4" s="30" t="s">
        <v>47</v>
      </c>
      <c r="I4" s="15" t="s">
        <v>42</v>
      </c>
      <c r="J4" s="15" t="s">
        <v>48</v>
      </c>
      <c r="K4" s="15" t="s">
        <v>87</v>
      </c>
      <c r="L4" s="15"/>
      <c r="M4" s="31"/>
      <c r="N4" s="32"/>
      <c r="O4" s="19" t="s">
        <v>88</v>
      </c>
      <c r="P4" s="27">
        <v>3</v>
      </c>
      <c r="Q4" s="27">
        <v>5</v>
      </c>
      <c r="R4" s="27">
        <v>210</v>
      </c>
      <c r="S4" s="27" t="s">
        <v>49</v>
      </c>
      <c r="T4" s="33">
        <v>35352</v>
      </c>
      <c r="U4" s="34" t="s">
        <v>50</v>
      </c>
      <c r="V4" s="34" t="s">
        <v>50</v>
      </c>
      <c r="W4" s="19">
        <v>37919</v>
      </c>
      <c r="X4" s="19">
        <v>40120</v>
      </c>
      <c r="Y4" s="19">
        <v>42898</v>
      </c>
      <c r="Z4" s="33"/>
      <c r="AA4" s="33">
        <v>25935</v>
      </c>
      <c r="AB4" s="35">
        <v>47485</v>
      </c>
      <c r="AC4" s="30" t="s">
        <v>51</v>
      </c>
      <c r="AD4" s="15" t="s">
        <v>117</v>
      </c>
      <c r="AE4" s="36">
        <v>10</v>
      </c>
      <c r="AF4" s="36">
        <v>5</v>
      </c>
      <c r="AG4" s="15"/>
      <c r="AH4" s="15"/>
      <c r="AI4" s="15"/>
      <c r="AJ4" s="36" t="s">
        <v>46</v>
      </c>
      <c r="AK4" s="27">
        <v>1781</v>
      </c>
      <c r="AL4" s="15"/>
      <c r="AM4" s="7" t="s">
        <v>85</v>
      </c>
      <c r="AN4" s="15"/>
      <c r="AO4" s="25" t="s">
        <v>89</v>
      </c>
      <c r="AP4" s="2"/>
      <c r="AQ4" s="26">
        <v>55</v>
      </c>
      <c r="AR4" s="2"/>
    </row>
    <row r="5" spans="1:221" s="62" customFormat="1" ht="67.5" x14ac:dyDescent="0.35">
      <c r="A5" s="60" t="s">
        <v>75</v>
      </c>
      <c r="B5" s="6">
        <v>3</v>
      </c>
      <c r="C5" s="12">
        <v>12</v>
      </c>
      <c r="D5" s="13">
        <v>82</v>
      </c>
      <c r="E5" s="37" t="s">
        <v>111</v>
      </c>
      <c r="F5" s="38" t="s">
        <v>78</v>
      </c>
      <c r="G5" s="39" t="s">
        <v>104</v>
      </c>
      <c r="H5" s="40" t="s">
        <v>52</v>
      </c>
      <c r="I5" s="41" t="s">
        <v>53</v>
      </c>
      <c r="J5" s="39" t="s">
        <v>54</v>
      </c>
      <c r="K5" s="15" t="s">
        <v>90</v>
      </c>
      <c r="L5" s="39"/>
      <c r="M5" s="42"/>
      <c r="N5" s="42"/>
      <c r="O5" s="43">
        <v>43856</v>
      </c>
      <c r="P5" s="37">
        <v>6.1</v>
      </c>
      <c r="Q5" s="37">
        <v>1</v>
      </c>
      <c r="R5" s="37"/>
      <c r="S5" s="37" t="s">
        <v>55</v>
      </c>
      <c r="T5" s="44">
        <v>34384</v>
      </c>
      <c r="U5" s="37">
        <v>0</v>
      </c>
      <c r="V5" s="44">
        <v>37889</v>
      </c>
      <c r="W5" s="44">
        <v>39786</v>
      </c>
      <c r="X5" s="44">
        <v>41273</v>
      </c>
      <c r="Y5" s="45">
        <v>42898</v>
      </c>
      <c r="Z5" s="44"/>
      <c r="AA5" s="44">
        <v>24671</v>
      </c>
      <c r="AB5" s="46">
        <v>46221</v>
      </c>
      <c r="AC5" s="39" t="s">
        <v>56</v>
      </c>
      <c r="AD5" s="39" t="s">
        <v>116</v>
      </c>
      <c r="AE5" s="47">
        <v>10</v>
      </c>
      <c r="AF5" s="47">
        <v>5</v>
      </c>
      <c r="AG5" s="37"/>
      <c r="AH5" s="37"/>
      <c r="AI5" s="39"/>
      <c r="AJ5" s="48" t="s">
        <v>46</v>
      </c>
      <c r="AK5" s="37">
        <v>328</v>
      </c>
      <c r="AL5" s="37"/>
      <c r="AM5" s="47"/>
      <c r="AN5" s="39"/>
      <c r="AO5" s="47"/>
      <c r="AP5" s="11"/>
      <c r="AQ5" s="26">
        <v>58</v>
      </c>
      <c r="AR5" s="11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  <c r="GD5" s="59"/>
      <c r="GE5" s="59"/>
      <c r="GF5" s="59"/>
      <c r="GG5" s="59"/>
      <c r="GH5" s="59"/>
      <c r="GI5" s="59"/>
      <c r="GJ5" s="59"/>
      <c r="GK5" s="59"/>
      <c r="GL5" s="59"/>
      <c r="GM5" s="59"/>
      <c r="GN5" s="59"/>
      <c r="GO5" s="59"/>
      <c r="GP5" s="59"/>
      <c r="GQ5" s="59"/>
      <c r="GR5" s="59"/>
      <c r="GS5" s="59"/>
      <c r="GT5" s="59"/>
      <c r="GU5" s="59"/>
      <c r="GV5" s="59"/>
      <c r="GW5" s="59"/>
      <c r="GX5" s="59"/>
      <c r="GY5" s="59"/>
      <c r="GZ5" s="59"/>
      <c r="HA5" s="59"/>
      <c r="HB5" s="59"/>
      <c r="HC5" s="59"/>
      <c r="HD5" s="59"/>
      <c r="HE5" s="59"/>
      <c r="HF5" s="59"/>
      <c r="HG5" s="59"/>
      <c r="HH5" s="59"/>
      <c r="HI5" s="59"/>
      <c r="HJ5" s="59"/>
      <c r="HK5" s="59"/>
      <c r="HL5" s="59"/>
      <c r="HM5" s="59"/>
    </row>
    <row r="6" spans="1:221" s="62" customFormat="1" ht="27" x14ac:dyDescent="0.35">
      <c r="A6" s="61">
        <v>84</v>
      </c>
      <c r="B6" s="6">
        <v>4</v>
      </c>
      <c r="C6" s="27">
        <v>13</v>
      </c>
      <c r="D6" s="28">
        <v>83</v>
      </c>
      <c r="E6" s="27" t="s">
        <v>112</v>
      </c>
      <c r="F6" s="15" t="s">
        <v>79</v>
      </c>
      <c r="G6" s="15" t="s">
        <v>105</v>
      </c>
      <c r="H6" s="15" t="s">
        <v>57</v>
      </c>
      <c r="I6" s="15" t="s">
        <v>42</v>
      </c>
      <c r="J6" s="15" t="s">
        <v>58</v>
      </c>
      <c r="K6" s="15" t="s">
        <v>91</v>
      </c>
      <c r="L6" s="15"/>
      <c r="M6" s="31"/>
      <c r="N6" s="32"/>
      <c r="O6" s="19" t="s">
        <v>92</v>
      </c>
      <c r="P6" s="9">
        <v>1</v>
      </c>
      <c r="Q6" s="9">
        <v>13</v>
      </c>
      <c r="R6" s="9">
        <v>11.2</v>
      </c>
      <c r="S6" s="27" t="s">
        <v>59</v>
      </c>
      <c r="T6" s="19">
        <v>36052</v>
      </c>
      <c r="U6" s="27" t="s">
        <v>60</v>
      </c>
      <c r="V6" s="19">
        <v>38469</v>
      </c>
      <c r="W6" s="19">
        <v>40120</v>
      </c>
      <c r="X6" s="19">
        <v>41365</v>
      </c>
      <c r="Y6" s="49">
        <v>43605</v>
      </c>
      <c r="Z6" s="19"/>
      <c r="AA6" s="19">
        <v>28161</v>
      </c>
      <c r="AB6" s="35">
        <v>49710</v>
      </c>
      <c r="AC6" s="15" t="s">
        <v>61</v>
      </c>
      <c r="AD6" s="15" t="s">
        <v>115</v>
      </c>
      <c r="AE6" s="50">
        <v>10</v>
      </c>
      <c r="AF6" s="50">
        <v>5</v>
      </c>
      <c r="AG6" s="27"/>
      <c r="AH6" s="27"/>
      <c r="AI6" s="15"/>
      <c r="AJ6" s="36" t="s">
        <v>46</v>
      </c>
      <c r="AK6" s="27">
        <v>961</v>
      </c>
      <c r="AL6" s="31"/>
      <c r="AM6" s="7" t="s">
        <v>85</v>
      </c>
      <c r="AN6" s="15"/>
      <c r="AO6" s="25" t="s">
        <v>93</v>
      </c>
      <c r="AP6" s="51"/>
      <c r="AQ6" s="26">
        <v>49</v>
      </c>
      <c r="AR6" s="52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  <c r="GL6" s="63"/>
      <c r="GM6" s="63"/>
      <c r="GN6" s="63"/>
      <c r="GO6" s="63"/>
      <c r="GP6" s="63"/>
      <c r="GQ6" s="63"/>
      <c r="GR6" s="63"/>
      <c r="GS6" s="63"/>
      <c r="GT6" s="63"/>
      <c r="GU6" s="63"/>
      <c r="GV6" s="63"/>
      <c r="GW6" s="63"/>
      <c r="GX6" s="63"/>
      <c r="GY6" s="63"/>
      <c r="GZ6" s="63"/>
      <c r="HA6" s="63"/>
      <c r="HB6" s="63"/>
      <c r="HC6" s="63"/>
      <c r="HD6" s="63"/>
      <c r="HE6" s="63"/>
      <c r="HF6" s="63"/>
      <c r="HG6" s="63"/>
      <c r="HH6" s="63"/>
      <c r="HI6" s="63"/>
      <c r="HJ6" s="63"/>
      <c r="HK6" s="63"/>
      <c r="HL6" s="63"/>
      <c r="HM6" s="63"/>
    </row>
    <row r="7" spans="1:221" s="62" customFormat="1" ht="40.5" x14ac:dyDescent="0.35">
      <c r="A7" s="59">
        <v>95</v>
      </c>
      <c r="B7" s="6">
        <v>5</v>
      </c>
      <c r="C7" s="12">
        <v>14</v>
      </c>
      <c r="D7" s="13">
        <v>84</v>
      </c>
      <c r="E7" s="1" t="s">
        <v>113</v>
      </c>
      <c r="F7" s="2" t="s">
        <v>80</v>
      </c>
      <c r="G7" s="2" t="s">
        <v>106</v>
      </c>
      <c r="H7" s="2" t="s">
        <v>62</v>
      </c>
      <c r="I7" s="2" t="s">
        <v>42</v>
      </c>
      <c r="J7" s="2" t="s">
        <v>63</v>
      </c>
      <c r="K7" s="2" t="s">
        <v>94</v>
      </c>
      <c r="L7" s="2" t="s">
        <v>64</v>
      </c>
      <c r="M7" s="1">
        <v>101</v>
      </c>
      <c r="N7" s="18">
        <v>45700</v>
      </c>
      <c r="O7" s="3" t="s">
        <v>95</v>
      </c>
      <c r="P7" s="1">
        <v>3</v>
      </c>
      <c r="Q7" s="1">
        <v>3</v>
      </c>
      <c r="R7" s="1">
        <v>10270</v>
      </c>
      <c r="S7" s="1" t="s">
        <v>59</v>
      </c>
      <c r="T7" s="3">
        <v>36061</v>
      </c>
      <c r="U7" s="1" t="s">
        <v>60</v>
      </c>
      <c r="V7" s="3">
        <v>38666</v>
      </c>
      <c r="W7" s="3">
        <v>40120</v>
      </c>
      <c r="X7" s="3">
        <v>41365</v>
      </c>
      <c r="Y7" s="3">
        <v>43677</v>
      </c>
      <c r="Z7" s="3"/>
      <c r="AA7" s="3">
        <v>26299</v>
      </c>
      <c r="AB7" s="4">
        <v>47849</v>
      </c>
      <c r="AC7" s="2" t="s">
        <v>65</v>
      </c>
      <c r="AD7" s="2" t="s">
        <v>114</v>
      </c>
      <c r="AE7" s="25">
        <v>9</v>
      </c>
      <c r="AF7" s="25">
        <v>5</v>
      </c>
      <c r="AG7" s="1"/>
      <c r="AH7" s="1"/>
      <c r="AI7" s="2"/>
      <c r="AJ7" s="7" t="s">
        <v>46</v>
      </c>
      <c r="AK7" s="1">
        <v>983</v>
      </c>
      <c r="AL7" s="2"/>
      <c r="AM7" s="7" t="s">
        <v>85</v>
      </c>
      <c r="AN7" s="2"/>
      <c r="AO7" s="25" t="s">
        <v>96</v>
      </c>
      <c r="AP7" s="51"/>
      <c r="AQ7" s="26">
        <v>54</v>
      </c>
      <c r="AR7" s="2"/>
    </row>
    <row r="8" spans="1:221" s="62" customFormat="1" ht="27" x14ac:dyDescent="0.35">
      <c r="A8" s="59">
        <v>98</v>
      </c>
      <c r="B8" s="6">
        <v>6</v>
      </c>
      <c r="C8" s="27">
        <v>15</v>
      </c>
      <c r="D8" s="28">
        <v>85</v>
      </c>
      <c r="E8" s="1" t="s">
        <v>113</v>
      </c>
      <c r="F8" s="2" t="s">
        <v>81</v>
      </c>
      <c r="G8" s="2" t="s">
        <v>107</v>
      </c>
      <c r="H8" s="2" t="s">
        <v>66</v>
      </c>
      <c r="I8" s="2"/>
      <c r="J8" s="2" t="s">
        <v>67</v>
      </c>
      <c r="K8" s="2" t="s">
        <v>97</v>
      </c>
      <c r="L8" s="2"/>
      <c r="M8" s="1"/>
      <c r="N8" s="18"/>
      <c r="O8" s="3">
        <v>46024</v>
      </c>
      <c r="P8" s="1">
        <v>5</v>
      </c>
      <c r="Q8" s="1">
        <v>3</v>
      </c>
      <c r="R8" s="1">
        <v>340</v>
      </c>
      <c r="S8" s="1" t="s">
        <v>68</v>
      </c>
      <c r="T8" s="3">
        <v>35364</v>
      </c>
      <c r="U8" s="53" t="s">
        <v>50</v>
      </c>
      <c r="V8" s="53" t="s">
        <v>50</v>
      </c>
      <c r="W8" s="3">
        <v>39786</v>
      </c>
      <c r="X8" s="3">
        <v>41365</v>
      </c>
      <c r="Y8" s="3">
        <v>43772</v>
      </c>
      <c r="Z8" s="53"/>
      <c r="AA8" s="3">
        <v>25600</v>
      </c>
      <c r="AB8" s="4">
        <v>47150</v>
      </c>
      <c r="AC8" s="54" t="s">
        <v>69</v>
      </c>
      <c r="AD8" s="2"/>
      <c r="AE8" s="25">
        <v>9</v>
      </c>
      <c r="AF8" s="25"/>
      <c r="AG8" s="1"/>
      <c r="AH8" s="1"/>
      <c r="AI8" s="2"/>
      <c r="AJ8" s="7" t="s">
        <v>46</v>
      </c>
      <c r="AK8" s="1">
        <v>885</v>
      </c>
      <c r="AL8" s="2"/>
      <c r="AM8" s="7" t="s">
        <v>85</v>
      </c>
      <c r="AN8" s="2"/>
      <c r="AO8" s="25" t="s">
        <v>98</v>
      </c>
      <c r="AP8" s="2"/>
      <c r="AQ8" s="26">
        <v>56</v>
      </c>
      <c r="AR8" s="2"/>
    </row>
    <row r="9" spans="1:221" s="64" customFormat="1" x14ac:dyDescent="0.35">
      <c r="A9" s="59">
        <v>99</v>
      </c>
      <c r="B9" s="6">
        <v>7</v>
      </c>
      <c r="C9" s="12">
        <v>16</v>
      </c>
      <c r="D9" s="13">
        <v>86</v>
      </c>
      <c r="E9" s="1" t="s">
        <v>113</v>
      </c>
      <c r="F9" s="2" t="s">
        <v>82</v>
      </c>
      <c r="G9" s="2" t="s">
        <v>108</v>
      </c>
      <c r="H9" s="2" t="s">
        <v>70</v>
      </c>
      <c r="I9" s="2"/>
      <c r="J9" s="2" t="s">
        <v>71</v>
      </c>
      <c r="K9" s="2" t="s">
        <v>99</v>
      </c>
      <c r="L9" s="2"/>
      <c r="M9" s="11"/>
      <c r="N9" s="18"/>
      <c r="O9" s="3" t="s">
        <v>100</v>
      </c>
      <c r="P9" s="1">
        <v>3.1</v>
      </c>
      <c r="Q9" s="1">
        <v>2</v>
      </c>
      <c r="R9" s="1">
        <v>297</v>
      </c>
      <c r="S9" s="1" t="s">
        <v>44</v>
      </c>
      <c r="T9" s="3">
        <v>36906</v>
      </c>
      <c r="U9" s="1" t="s">
        <v>72</v>
      </c>
      <c r="V9" s="1" t="s">
        <v>72</v>
      </c>
      <c r="W9" s="3">
        <v>39786</v>
      </c>
      <c r="X9" s="3">
        <v>41365</v>
      </c>
      <c r="Y9" s="3">
        <v>43772</v>
      </c>
      <c r="Z9" s="1"/>
      <c r="AA9" s="3">
        <v>25902</v>
      </c>
      <c r="AB9" s="4">
        <v>47452</v>
      </c>
      <c r="AC9" s="2" t="s">
        <v>73</v>
      </c>
      <c r="AD9" s="2" t="s">
        <v>74</v>
      </c>
      <c r="AE9" s="25">
        <v>10</v>
      </c>
      <c r="AF9" s="25"/>
      <c r="AG9" s="1"/>
      <c r="AH9" s="1"/>
      <c r="AI9" s="2"/>
      <c r="AJ9" s="7" t="s">
        <v>46</v>
      </c>
      <c r="AK9" s="1">
        <v>902</v>
      </c>
      <c r="AL9" s="2"/>
      <c r="AM9" s="7" t="s">
        <v>85</v>
      </c>
      <c r="AN9" s="2"/>
      <c r="AO9" s="25" t="s">
        <v>101</v>
      </c>
      <c r="AP9" s="2"/>
      <c r="AQ9" s="26">
        <v>55</v>
      </c>
      <c r="AR9" s="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</row>
    <row r="10" spans="1:221" ht="15" x14ac:dyDescent="0.35">
      <c r="D10" s="65"/>
    </row>
    <row r="11" spans="1:221" ht="15" x14ac:dyDescent="0.35">
      <c r="D11" s="72"/>
    </row>
    <row r="12" spans="1:221" ht="15" x14ac:dyDescent="0.35">
      <c r="D12" s="65"/>
    </row>
    <row r="13" spans="1:221" ht="15" x14ac:dyDescent="0.35">
      <c r="D13" s="65"/>
    </row>
    <row r="14" spans="1:221" ht="15" x14ac:dyDescent="0.35">
      <c r="D14" s="65"/>
    </row>
    <row r="15" spans="1:221" ht="15" x14ac:dyDescent="0.35">
      <c r="D15" s="65"/>
    </row>
    <row r="16" spans="1:221" ht="15" x14ac:dyDescent="0.35">
      <c r="D16" s="65"/>
    </row>
    <row r="17" spans="4:4" ht="15" x14ac:dyDescent="0.35">
      <c r="D17" s="65"/>
    </row>
    <row r="18" spans="4:4" ht="15" x14ac:dyDescent="0.35">
      <c r="D18" s="72"/>
    </row>
    <row r="19" spans="4:4" ht="15" x14ac:dyDescent="0.35">
      <c r="D19" s="72"/>
    </row>
  </sheetData>
  <conditionalFormatting sqref="D1:D1048576">
    <cfRule type="duplicateValues" dxfId="35" priority="1"/>
  </conditionalFormatting>
  <conditionalFormatting sqref="D10">
    <cfRule type="duplicateValues" dxfId="33" priority="16" stopIfTrue="1"/>
  </conditionalFormatting>
  <conditionalFormatting sqref="D10:D19">
    <cfRule type="duplicateValues" dxfId="31" priority="15"/>
  </conditionalFormatting>
  <conditionalFormatting sqref="D11">
    <cfRule type="duplicateValues" dxfId="29" priority="14" stopIfTrue="1"/>
  </conditionalFormatting>
  <conditionalFormatting sqref="D12:D13">
    <cfRule type="duplicateValues" dxfId="27" priority="13" stopIfTrue="1"/>
  </conditionalFormatting>
  <conditionalFormatting sqref="D14">
    <cfRule type="duplicateValues" dxfId="25" priority="12" stopIfTrue="1"/>
  </conditionalFormatting>
  <conditionalFormatting sqref="D15">
    <cfRule type="duplicateValues" dxfId="23" priority="10" stopIfTrue="1"/>
    <cfRule type="duplicateValues" dxfId="22" priority="11" stopIfTrue="1"/>
  </conditionalFormatting>
  <conditionalFormatting sqref="D16">
    <cfRule type="duplicateValues" dxfId="19" priority="7" stopIfTrue="1"/>
    <cfRule type="duplicateValues" dxfId="18" priority="8" stopIfTrue="1"/>
    <cfRule type="duplicateValues" dxfId="17" priority="9" stopIfTrue="1"/>
  </conditionalFormatting>
  <conditionalFormatting sqref="D17">
    <cfRule type="duplicateValues" dxfId="13" priority="2" stopIfTrue="1"/>
  </conditionalFormatting>
  <conditionalFormatting sqref="D17:D19">
    <cfRule type="duplicateValues" dxfId="11" priority="3" stopIfTrue="1"/>
    <cfRule type="duplicateValues" dxfId="10" priority="4" stopIfTrue="1"/>
    <cfRule type="duplicateValues" dxfId="9" priority="5" stopIfTrue="1"/>
    <cfRule type="duplicateValues" dxfId="8" priority="6" stopIfTrue="1"/>
  </conditionalFormatting>
  <conditionalFormatting sqref="D3:D9">
    <cfRule type="duplicateValues" dxfId="3" priority="17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2026-02-26T16:06:51Z</dcterms:created>
  <dcterms:modified xsi:type="dcterms:W3CDTF">2026-02-26T16:15:21Z</dcterms:modified>
</cp:coreProperties>
</file>